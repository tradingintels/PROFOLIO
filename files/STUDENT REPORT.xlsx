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105" windowWidth="14295" windowHeight="4635" activeTab="1"/>
  </bookViews>
  <sheets>
    <sheet name="Sheet1" sheetId="1" r:id="rId1"/>
    <sheet name="Sheet3" sheetId="3" r:id="rId2"/>
  </sheets>
  <calcPr calcId="124519"/>
</workbook>
</file>

<file path=xl/calcChain.xml><?xml version="1.0" encoding="utf-8"?>
<calcChain xmlns="http://schemas.openxmlformats.org/spreadsheetml/2006/main">
  <c r="R4" i="1"/>
  <c r="R5"/>
  <c r="R6"/>
  <c r="R7"/>
  <c r="R8"/>
  <c r="R9"/>
  <c r="R10"/>
  <c r="R11"/>
  <c r="R12"/>
  <c r="R13"/>
  <c r="R14"/>
  <c r="R15"/>
  <c r="R16"/>
  <c r="R17"/>
  <c r="R18"/>
  <c r="R19"/>
  <c r="R20"/>
  <c r="R21"/>
  <c r="R22"/>
  <c r="R23"/>
  <c r="R24"/>
  <c r="R25"/>
  <c r="R26"/>
  <c r="R27"/>
  <c r="R28"/>
  <c r="R29"/>
  <c r="R30"/>
  <c r="R31"/>
  <c r="R32"/>
  <c r="R3"/>
  <c r="P3"/>
  <c r="M12" i="3"/>
  <c r="M4"/>
  <c r="M5"/>
  <c r="M6"/>
  <c r="M7"/>
  <c r="M8"/>
  <c r="M9"/>
  <c r="M10"/>
  <c r="M11"/>
  <c r="M3"/>
  <c r="L4"/>
  <c r="L5"/>
  <c r="L6"/>
  <c r="L7"/>
  <c r="L8"/>
  <c r="L9"/>
  <c r="L10"/>
  <c r="L11"/>
  <c r="L12"/>
  <c r="L3"/>
  <c r="K4"/>
  <c r="K5"/>
  <c r="K6"/>
  <c r="K7"/>
  <c r="K8"/>
  <c r="K9"/>
  <c r="K10"/>
  <c r="K11"/>
  <c r="K12"/>
  <c r="K3"/>
  <c r="J4"/>
  <c r="J5"/>
  <c r="J6"/>
  <c r="J7"/>
  <c r="J8"/>
  <c r="J9"/>
  <c r="J10"/>
  <c r="J11"/>
  <c r="J12"/>
  <c r="J3"/>
  <c r="I4"/>
  <c r="I5"/>
  <c r="I6"/>
  <c r="I7"/>
  <c r="I8"/>
  <c r="I9"/>
  <c r="I10"/>
  <c r="I11"/>
  <c r="I12"/>
  <c r="I3"/>
  <c r="H4"/>
  <c r="H5"/>
  <c r="H6"/>
  <c r="H7"/>
  <c r="H8"/>
  <c r="H9"/>
  <c r="H10"/>
  <c r="H11"/>
  <c r="H12"/>
  <c r="H3"/>
  <c r="G4"/>
  <c r="G5"/>
  <c r="G6"/>
  <c r="G7"/>
  <c r="G8"/>
  <c r="G9"/>
  <c r="G10"/>
  <c r="G11"/>
  <c r="G12"/>
  <c r="G3"/>
  <c r="O6" i="1"/>
  <c r="P6" s="1"/>
  <c r="O7"/>
  <c r="P7" s="1"/>
  <c r="O8"/>
  <c r="P8" s="1"/>
  <c r="O9"/>
  <c r="P9" s="1"/>
  <c r="O10"/>
  <c r="P10" s="1"/>
  <c r="O11"/>
  <c r="P11" s="1"/>
  <c r="O12"/>
  <c r="P12" s="1"/>
  <c r="O13"/>
  <c r="P13" s="1"/>
  <c r="O14"/>
  <c r="P14" s="1"/>
  <c r="O15"/>
  <c r="P15" s="1"/>
  <c r="O16"/>
  <c r="P16" s="1"/>
  <c r="O17"/>
  <c r="P17" s="1"/>
  <c r="O18"/>
  <c r="P18" s="1"/>
  <c r="O19"/>
  <c r="P19" s="1"/>
  <c r="O20"/>
  <c r="P20" s="1"/>
  <c r="O21"/>
  <c r="P21" s="1"/>
  <c r="O22"/>
  <c r="P22" s="1"/>
  <c r="O23"/>
  <c r="P23" s="1"/>
  <c r="O24"/>
  <c r="P24" s="1"/>
  <c r="O25"/>
  <c r="P25" s="1"/>
  <c r="O26"/>
  <c r="P26" s="1"/>
  <c r="O27"/>
  <c r="P27" s="1"/>
  <c r="O28"/>
  <c r="P28" s="1"/>
  <c r="O29"/>
  <c r="P29" s="1"/>
  <c r="O30"/>
  <c r="P30" s="1"/>
  <c r="O31"/>
  <c r="P31" s="1"/>
  <c r="O32"/>
  <c r="P32" s="1"/>
  <c r="O5"/>
  <c r="P5" s="1"/>
  <c r="O4"/>
  <c r="P4" s="1"/>
  <c r="O3"/>
</calcChain>
</file>

<file path=xl/sharedStrings.xml><?xml version="1.0" encoding="utf-8"?>
<sst xmlns="http://schemas.openxmlformats.org/spreadsheetml/2006/main" count="151" uniqueCount="81">
  <si>
    <t>STUDENT REPORT</t>
  </si>
  <si>
    <t>S/N</t>
  </si>
  <si>
    <t>NAME</t>
  </si>
  <si>
    <t>AGE</t>
  </si>
  <si>
    <t>GRADE</t>
  </si>
  <si>
    <t>MATH</t>
  </si>
  <si>
    <t>ENGLISH</t>
  </si>
  <si>
    <t>BIOLOGY</t>
  </si>
  <si>
    <t>PHYSICS</t>
  </si>
  <si>
    <t>CHEMISTRY</t>
  </si>
  <si>
    <t>GOVERNMENT</t>
  </si>
  <si>
    <t>CIVIC</t>
  </si>
  <si>
    <t>AGRIC</t>
  </si>
  <si>
    <t>ICT</t>
  </si>
  <si>
    <t>BOLA</t>
  </si>
  <si>
    <t>JIDE</t>
  </si>
  <si>
    <t>TUNDE</t>
  </si>
  <si>
    <t>BAKARE</t>
  </si>
  <si>
    <t>SHADE</t>
  </si>
  <si>
    <t>FOLA</t>
  </si>
  <si>
    <t>ENIOLA</t>
  </si>
  <si>
    <t>BIMBO</t>
  </si>
  <si>
    <t>ODUN</t>
  </si>
  <si>
    <t>ADE</t>
  </si>
  <si>
    <t>KOLA</t>
  </si>
  <si>
    <t>GLORY</t>
  </si>
  <si>
    <t>SHINA</t>
  </si>
  <si>
    <t>GLORIA</t>
  </si>
  <si>
    <t>TOBI</t>
  </si>
  <si>
    <t>FUNKE</t>
  </si>
  <si>
    <t>AKIN</t>
  </si>
  <si>
    <t>YEMI</t>
  </si>
  <si>
    <t>WALE</t>
  </si>
  <si>
    <t>BELLO</t>
  </si>
  <si>
    <t>JADE</t>
  </si>
  <si>
    <t>KUNLE</t>
  </si>
  <si>
    <t>OLA</t>
  </si>
  <si>
    <t>TOLA</t>
  </si>
  <si>
    <t>GENDER</t>
  </si>
  <si>
    <t>DIVINE</t>
  </si>
  <si>
    <t>TEMI</t>
  </si>
  <si>
    <t>TOPE</t>
  </si>
  <si>
    <t>BAYO</t>
  </si>
  <si>
    <t>NIYI</t>
  </si>
  <si>
    <t>F</t>
  </si>
  <si>
    <t>M</t>
  </si>
  <si>
    <t>SEUN</t>
  </si>
  <si>
    <t>TOTAL SCORE</t>
  </si>
  <si>
    <t>AVERAGE</t>
  </si>
  <si>
    <t>REMARK</t>
  </si>
  <si>
    <t>C</t>
  </si>
  <si>
    <t>E</t>
  </si>
  <si>
    <t>S/ID</t>
  </si>
  <si>
    <t>DESIGNATION</t>
  </si>
  <si>
    <t>BASIC</t>
  </si>
  <si>
    <t>TALLOW</t>
  </si>
  <si>
    <t>MALLOW</t>
  </si>
  <si>
    <t>WALLOW</t>
  </si>
  <si>
    <t>TAX</t>
  </si>
  <si>
    <t>GROSS PAY</t>
  </si>
  <si>
    <t>NETPAY</t>
  </si>
  <si>
    <t>Isiah</t>
  </si>
  <si>
    <t>isiac</t>
  </si>
  <si>
    <t>John</t>
  </si>
  <si>
    <t>Moses</t>
  </si>
  <si>
    <t>Jacob</t>
  </si>
  <si>
    <t>Josh</t>
  </si>
  <si>
    <t>David</t>
  </si>
  <si>
    <t>Noah</t>
  </si>
  <si>
    <t>Jake</t>
  </si>
  <si>
    <t>Kaleb</t>
  </si>
  <si>
    <t>ACCOUNTANT</t>
  </si>
  <si>
    <t>MATHEMATICIAN</t>
  </si>
  <si>
    <t>COMMUNICATION</t>
  </si>
  <si>
    <t>SECRETARY</t>
  </si>
  <si>
    <t>MANAGER</t>
  </si>
  <si>
    <t>SUPERVISOR</t>
  </si>
  <si>
    <t>PROJECT MANAGER</t>
  </si>
  <si>
    <t>HALLOW</t>
  </si>
  <si>
    <t>PAYROLL</t>
  </si>
  <si>
    <t>ASSISTANT SECRETARY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</si>
</sst>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charset val="1"/>
      <scheme val="minor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b/>
      <sz val="16"/>
      <color theme="1"/>
      <name val="Arial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 applyAlignment="1">
      <alignment horizontal="center"/>
    </xf>
    <xf numFmtId="0" fontId="2" fillId="0" borderId="0" xfId="0" applyFont="1"/>
    <xf numFmtId="3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1:R32"/>
  <sheetViews>
    <sheetView zoomScale="90" zoomScaleNormal="90" workbookViewId="0">
      <selection activeCell="S7" sqref="S7"/>
    </sheetView>
  </sheetViews>
  <sheetFormatPr defaultRowHeight="15"/>
  <cols>
    <col min="9" max="9" width="12.42578125" customWidth="1"/>
    <col min="10" max="10" width="15.140625" customWidth="1"/>
    <col min="11" max="11" width="14.140625" customWidth="1"/>
    <col min="15" max="15" width="14.140625" customWidth="1"/>
  </cols>
  <sheetData>
    <row r="1" spans="2:18" ht="26.25">
      <c r="C1" s="1"/>
      <c r="H1" s="2"/>
      <c r="I1" s="5" t="s">
        <v>0</v>
      </c>
      <c r="J1" s="5"/>
      <c r="K1" s="5"/>
    </row>
    <row r="2" spans="2:18">
      <c r="B2" s="3" t="s">
        <v>1</v>
      </c>
      <c r="C2" s="3" t="s">
        <v>2</v>
      </c>
      <c r="D2" s="3" t="s">
        <v>3</v>
      </c>
      <c r="E2" s="3" t="s">
        <v>38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3" t="s">
        <v>11</v>
      </c>
      <c r="M2" s="3" t="s">
        <v>12</v>
      </c>
      <c r="N2" s="3" t="s">
        <v>13</v>
      </c>
      <c r="O2" s="3" t="s">
        <v>47</v>
      </c>
      <c r="P2" s="3" t="s">
        <v>48</v>
      </c>
      <c r="Q2" s="3" t="s">
        <v>4</v>
      </c>
      <c r="R2" s="3" t="s">
        <v>49</v>
      </c>
    </row>
    <row r="3" spans="2:18">
      <c r="B3" s="4">
        <v>1</v>
      </c>
      <c r="C3" t="s">
        <v>39</v>
      </c>
      <c r="D3">
        <v>16</v>
      </c>
      <c r="E3" t="s">
        <v>44</v>
      </c>
      <c r="F3">
        <v>51</v>
      </c>
      <c r="G3">
        <v>51</v>
      </c>
      <c r="H3">
        <v>51</v>
      </c>
      <c r="I3">
        <v>51</v>
      </c>
      <c r="J3">
        <v>51</v>
      </c>
      <c r="K3">
        <v>51</v>
      </c>
      <c r="L3">
        <v>51</v>
      </c>
      <c r="M3">
        <v>51</v>
      </c>
      <c r="N3">
        <v>51</v>
      </c>
      <c r="O3">
        <f>SUM(F3:N3)</f>
        <v>459</v>
      </c>
      <c r="P3">
        <f>O3/900*100</f>
        <v>51</v>
      </c>
      <c r="Q3" t="s">
        <v>50</v>
      </c>
      <c r="R3" t="str">
        <f>IF(P3&gt;50, "Pass", "Fail")</f>
        <v>Pass</v>
      </c>
    </row>
    <row r="4" spans="2:18">
      <c r="B4">
        <v>2</v>
      </c>
      <c r="C4" t="s">
        <v>40</v>
      </c>
      <c r="D4">
        <v>16</v>
      </c>
      <c r="E4" t="s">
        <v>44</v>
      </c>
      <c r="F4">
        <v>53</v>
      </c>
      <c r="G4">
        <v>53</v>
      </c>
      <c r="H4">
        <v>53</v>
      </c>
      <c r="I4">
        <v>53</v>
      </c>
      <c r="J4">
        <v>53</v>
      </c>
      <c r="K4">
        <v>53</v>
      </c>
      <c r="L4">
        <v>53</v>
      </c>
      <c r="M4">
        <v>53</v>
      </c>
      <c r="N4">
        <v>53</v>
      </c>
      <c r="O4">
        <f>SUM(F4:N4)</f>
        <v>477</v>
      </c>
      <c r="P4">
        <f t="shared" ref="P4:P32" si="0">AVERAGE(O4/9)</f>
        <v>53</v>
      </c>
      <c r="Q4" t="s">
        <v>50</v>
      </c>
      <c r="R4" t="str">
        <f t="shared" ref="R4:R32" si="1">IF(P4&gt;50, "Pass", "Fail")</f>
        <v>Pass</v>
      </c>
    </row>
    <row r="5" spans="2:18">
      <c r="B5">
        <v>3</v>
      </c>
      <c r="C5" t="s">
        <v>41</v>
      </c>
      <c r="D5">
        <v>16</v>
      </c>
      <c r="E5" t="s">
        <v>44</v>
      </c>
      <c r="F5">
        <v>41</v>
      </c>
      <c r="G5">
        <v>41</v>
      </c>
      <c r="H5">
        <v>41</v>
      </c>
      <c r="I5">
        <v>41</v>
      </c>
      <c r="J5">
        <v>41</v>
      </c>
      <c r="K5">
        <v>41</v>
      </c>
      <c r="L5">
        <v>41</v>
      </c>
      <c r="M5">
        <v>41</v>
      </c>
      <c r="N5">
        <v>41</v>
      </c>
      <c r="O5">
        <f>SUM(F5:N5)</f>
        <v>369</v>
      </c>
      <c r="P5">
        <f t="shared" si="0"/>
        <v>41</v>
      </c>
      <c r="Q5" t="s">
        <v>50</v>
      </c>
      <c r="R5" t="str">
        <f t="shared" si="1"/>
        <v>Fail</v>
      </c>
    </row>
    <row r="6" spans="2:18">
      <c r="B6">
        <v>4</v>
      </c>
      <c r="C6" t="s">
        <v>42</v>
      </c>
      <c r="D6">
        <v>16</v>
      </c>
      <c r="E6" t="s">
        <v>45</v>
      </c>
      <c r="F6">
        <v>44</v>
      </c>
      <c r="G6">
        <v>44</v>
      </c>
      <c r="H6">
        <v>44</v>
      </c>
      <c r="I6">
        <v>44</v>
      </c>
      <c r="J6">
        <v>44</v>
      </c>
      <c r="K6">
        <v>44</v>
      </c>
      <c r="L6">
        <v>44</v>
      </c>
      <c r="M6">
        <v>44</v>
      </c>
      <c r="N6">
        <v>44</v>
      </c>
      <c r="O6">
        <f t="shared" ref="O6:O32" si="2">SUM(F6:N6)</f>
        <v>396</v>
      </c>
      <c r="P6">
        <f t="shared" si="0"/>
        <v>44</v>
      </c>
      <c r="Q6" t="s">
        <v>50</v>
      </c>
      <c r="R6" t="str">
        <f t="shared" si="1"/>
        <v>Fail</v>
      </c>
    </row>
    <row r="7" spans="2:18">
      <c r="B7">
        <v>5</v>
      </c>
      <c r="C7" t="s">
        <v>29</v>
      </c>
      <c r="D7">
        <v>17</v>
      </c>
      <c r="E7" t="s">
        <v>44</v>
      </c>
      <c r="F7">
        <v>40</v>
      </c>
      <c r="G7">
        <v>40</v>
      </c>
      <c r="H7">
        <v>40</v>
      </c>
      <c r="I7">
        <v>40</v>
      </c>
      <c r="J7">
        <v>40</v>
      </c>
      <c r="K7">
        <v>40</v>
      </c>
      <c r="L7">
        <v>40</v>
      </c>
      <c r="M7">
        <v>40</v>
      </c>
      <c r="N7">
        <v>40</v>
      </c>
      <c r="O7">
        <f t="shared" si="2"/>
        <v>360</v>
      </c>
      <c r="P7">
        <f t="shared" si="0"/>
        <v>40</v>
      </c>
      <c r="Q7" t="s">
        <v>50</v>
      </c>
      <c r="R7" t="str">
        <f t="shared" si="1"/>
        <v>Fail</v>
      </c>
    </row>
    <row r="8" spans="2:18">
      <c r="B8">
        <v>6</v>
      </c>
      <c r="C8" t="s">
        <v>43</v>
      </c>
      <c r="D8">
        <v>18</v>
      </c>
      <c r="E8" t="s">
        <v>45</v>
      </c>
      <c r="F8">
        <v>54</v>
      </c>
      <c r="G8">
        <v>54</v>
      </c>
      <c r="H8">
        <v>54</v>
      </c>
      <c r="I8">
        <v>54</v>
      </c>
      <c r="J8">
        <v>54</v>
      </c>
      <c r="K8">
        <v>54</v>
      </c>
      <c r="L8">
        <v>54</v>
      </c>
      <c r="M8">
        <v>54</v>
      </c>
      <c r="N8">
        <v>54</v>
      </c>
      <c r="O8">
        <f t="shared" si="2"/>
        <v>486</v>
      </c>
      <c r="P8">
        <f t="shared" si="0"/>
        <v>54</v>
      </c>
      <c r="Q8" t="s">
        <v>50</v>
      </c>
      <c r="R8" t="str">
        <f t="shared" si="1"/>
        <v>Pass</v>
      </c>
    </row>
    <row r="9" spans="2:18">
      <c r="B9">
        <v>7</v>
      </c>
      <c r="C9" t="s">
        <v>37</v>
      </c>
      <c r="D9">
        <v>16</v>
      </c>
      <c r="E9" t="s">
        <v>44</v>
      </c>
      <c r="F9">
        <v>31</v>
      </c>
      <c r="G9">
        <v>31</v>
      </c>
      <c r="H9">
        <v>31</v>
      </c>
      <c r="I9">
        <v>31</v>
      </c>
      <c r="J9">
        <v>31</v>
      </c>
      <c r="K9">
        <v>31</v>
      </c>
      <c r="L9">
        <v>31</v>
      </c>
      <c r="M9">
        <v>31</v>
      </c>
      <c r="N9">
        <v>31</v>
      </c>
      <c r="O9">
        <f t="shared" si="2"/>
        <v>279</v>
      </c>
      <c r="P9">
        <f t="shared" si="0"/>
        <v>31</v>
      </c>
      <c r="Q9" t="s">
        <v>51</v>
      </c>
      <c r="R9" t="str">
        <f t="shared" si="1"/>
        <v>Fail</v>
      </c>
    </row>
    <row r="10" spans="2:18">
      <c r="B10">
        <v>8</v>
      </c>
      <c r="C10" t="s">
        <v>36</v>
      </c>
      <c r="D10">
        <v>17</v>
      </c>
      <c r="E10" t="s">
        <v>45</v>
      </c>
      <c r="F10">
        <v>21</v>
      </c>
      <c r="G10">
        <v>21</v>
      </c>
      <c r="H10">
        <v>21</v>
      </c>
      <c r="I10">
        <v>21</v>
      </c>
      <c r="J10">
        <v>21</v>
      </c>
      <c r="K10">
        <v>21</v>
      </c>
      <c r="L10">
        <v>21</v>
      </c>
      <c r="M10">
        <v>21</v>
      </c>
      <c r="N10">
        <v>21</v>
      </c>
      <c r="O10">
        <f t="shared" si="2"/>
        <v>189</v>
      </c>
      <c r="P10">
        <f t="shared" si="0"/>
        <v>21</v>
      </c>
      <c r="Q10" t="s">
        <v>44</v>
      </c>
      <c r="R10" t="str">
        <f t="shared" si="1"/>
        <v>Fail</v>
      </c>
    </row>
    <row r="11" spans="2:18">
      <c r="B11">
        <v>9</v>
      </c>
      <c r="C11" t="s">
        <v>35</v>
      </c>
      <c r="D11">
        <v>16</v>
      </c>
      <c r="E11" t="s">
        <v>45</v>
      </c>
      <c r="F11">
        <v>54</v>
      </c>
      <c r="G11">
        <v>54</v>
      </c>
      <c r="H11">
        <v>54</v>
      </c>
      <c r="I11">
        <v>54</v>
      </c>
      <c r="J11">
        <v>54</v>
      </c>
      <c r="K11">
        <v>54</v>
      </c>
      <c r="L11">
        <v>54</v>
      </c>
      <c r="M11">
        <v>54</v>
      </c>
      <c r="N11">
        <v>54</v>
      </c>
      <c r="O11">
        <f t="shared" si="2"/>
        <v>486</v>
      </c>
      <c r="P11">
        <f t="shared" si="0"/>
        <v>54</v>
      </c>
      <c r="Q11" t="s">
        <v>50</v>
      </c>
      <c r="R11" t="str">
        <f t="shared" si="1"/>
        <v>Pass</v>
      </c>
    </row>
    <row r="12" spans="2:18">
      <c r="B12">
        <v>10</v>
      </c>
      <c r="C12" t="s">
        <v>34</v>
      </c>
      <c r="D12">
        <v>16</v>
      </c>
      <c r="E12" t="s">
        <v>44</v>
      </c>
      <c r="F12">
        <v>59</v>
      </c>
      <c r="G12">
        <v>59</v>
      </c>
      <c r="H12">
        <v>59</v>
      </c>
      <c r="I12">
        <v>59</v>
      </c>
      <c r="J12">
        <v>59</v>
      </c>
      <c r="K12">
        <v>59</v>
      </c>
      <c r="L12">
        <v>59</v>
      </c>
      <c r="M12">
        <v>59</v>
      </c>
      <c r="N12">
        <v>59</v>
      </c>
      <c r="O12">
        <f t="shared" si="2"/>
        <v>531</v>
      </c>
      <c r="P12">
        <f t="shared" si="0"/>
        <v>59</v>
      </c>
      <c r="Q12" t="s">
        <v>50</v>
      </c>
      <c r="R12" t="str">
        <f t="shared" si="1"/>
        <v>Pass</v>
      </c>
    </row>
    <row r="13" spans="2:18">
      <c r="B13">
        <v>11</v>
      </c>
      <c r="C13" t="s">
        <v>33</v>
      </c>
      <c r="D13">
        <v>16</v>
      </c>
      <c r="E13" t="s">
        <v>45</v>
      </c>
      <c r="F13">
        <v>58</v>
      </c>
      <c r="G13">
        <v>58</v>
      </c>
      <c r="H13">
        <v>58</v>
      </c>
      <c r="I13">
        <v>58</v>
      </c>
      <c r="J13">
        <v>58</v>
      </c>
      <c r="K13">
        <v>58</v>
      </c>
      <c r="L13">
        <v>58</v>
      </c>
      <c r="M13">
        <v>58</v>
      </c>
      <c r="N13">
        <v>58</v>
      </c>
      <c r="O13">
        <f t="shared" si="2"/>
        <v>522</v>
      </c>
      <c r="P13">
        <f t="shared" si="0"/>
        <v>58</v>
      </c>
      <c r="Q13" t="s">
        <v>50</v>
      </c>
      <c r="R13" t="str">
        <f t="shared" si="1"/>
        <v>Pass</v>
      </c>
    </row>
    <row r="14" spans="2:18">
      <c r="B14">
        <v>12</v>
      </c>
      <c r="C14" t="s">
        <v>32</v>
      </c>
      <c r="D14">
        <v>16</v>
      </c>
      <c r="E14" t="s">
        <v>45</v>
      </c>
      <c r="F14">
        <v>57</v>
      </c>
      <c r="G14">
        <v>57</v>
      </c>
      <c r="H14">
        <v>57</v>
      </c>
      <c r="I14">
        <v>57</v>
      </c>
      <c r="J14">
        <v>57</v>
      </c>
      <c r="K14">
        <v>57</v>
      </c>
      <c r="L14">
        <v>57</v>
      </c>
      <c r="M14">
        <v>57</v>
      </c>
      <c r="N14">
        <v>57</v>
      </c>
      <c r="O14">
        <f t="shared" si="2"/>
        <v>513</v>
      </c>
      <c r="P14">
        <f t="shared" si="0"/>
        <v>57</v>
      </c>
      <c r="Q14" t="s">
        <v>50</v>
      </c>
      <c r="R14" t="str">
        <f t="shared" si="1"/>
        <v>Pass</v>
      </c>
    </row>
    <row r="15" spans="2:18">
      <c r="B15">
        <v>13</v>
      </c>
      <c r="C15" t="s">
        <v>31</v>
      </c>
      <c r="D15">
        <v>16</v>
      </c>
      <c r="E15" t="s">
        <v>45</v>
      </c>
      <c r="F15">
        <v>26</v>
      </c>
      <c r="G15">
        <v>26</v>
      </c>
      <c r="H15">
        <v>26</v>
      </c>
      <c r="I15">
        <v>26</v>
      </c>
      <c r="J15">
        <v>26</v>
      </c>
      <c r="K15">
        <v>26</v>
      </c>
      <c r="L15">
        <v>26</v>
      </c>
      <c r="M15">
        <v>26</v>
      </c>
      <c r="N15">
        <v>26</v>
      </c>
      <c r="O15">
        <f t="shared" si="2"/>
        <v>234</v>
      </c>
      <c r="P15">
        <f t="shared" si="0"/>
        <v>26</v>
      </c>
      <c r="Q15" t="s">
        <v>44</v>
      </c>
      <c r="R15" t="str">
        <f t="shared" si="1"/>
        <v>Fail</v>
      </c>
    </row>
    <row r="16" spans="2:18">
      <c r="B16">
        <v>14</v>
      </c>
      <c r="C16" t="s">
        <v>30</v>
      </c>
      <c r="D16">
        <v>16</v>
      </c>
      <c r="E16" t="s">
        <v>45</v>
      </c>
      <c r="F16">
        <v>25</v>
      </c>
      <c r="G16">
        <v>25</v>
      </c>
      <c r="H16">
        <v>25</v>
      </c>
      <c r="I16">
        <v>25</v>
      </c>
      <c r="J16">
        <v>25</v>
      </c>
      <c r="K16">
        <v>25</v>
      </c>
      <c r="L16">
        <v>25</v>
      </c>
      <c r="M16">
        <v>25</v>
      </c>
      <c r="N16">
        <v>25</v>
      </c>
      <c r="O16">
        <f t="shared" si="2"/>
        <v>225</v>
      </c>
      <c r="P16">
        <f t="shared" si="0"/>
        <v>25</v>
      </c>
      <c r="Q16" t="s">
        <v>44</v>
      </c>
      <c r="R16" t="str">
        <f t="shared" si="1"/>
        <v>Fail</v>
      </c>
    </row>
    <row r="17" spans="2:18">
      <c r="B17">
        <v>15</v>
      </c>
      <c r="C17" t="s">
        <v>46</v>
      </c>
      <c r="D17">
        <v>16</v>
      </c>
      <c r="E17" t="s">
        <v>44</v>
      </c>
      <c r="F17">
        <v>20</v>
      </c>
      <c r="G17">
        <v>20</v>
      </c>
      <c r="H17">
        <v>20</v>
      </c>
      <c r="I17">
        <v>20</v>
      </c>
      <c r="J17">
        <v>20</v>
      </c>
      <c r="K17">
        <v>20</v>
      </c>
      <c r="L17">
        <v>20</v>
      </c>
      <c r="M17">
        <v>20</v>
      </c>
      <c r="N17">
        <v>20</v>
      </c>
      <c r="O17">
        <f t="shared" si="2"/>
        <v>180</v>
      </c>
      <c r="P17">
        <f t="shared" si="0"/>
        <v>20</v>
      </c>
      <c r="Q17" t="s">
        <v>44</v>
      </c>
      <c r="R17" t="str">
        <f t="shared" si="1"/>
        <v>Fail</v>
      </c>
    </row>
    <row r="18" spans="2:18">
      <c r="B18">
        <v>16</v>
      </c>
      <c r="C18" t="s">
        <v>28</v>
      </c>
      <c r="D18">
        <v>17</v>
      </c>
      <c r="E18" t="s">
        <v>45</v>
      </c>
      <c r="F18">
        <v>34</v>
      </c>
      <c r="G18">
        <v>34</v>
      </c>
      <c r="H18">
        <v>34</v>
      </c>
      <c r="I18">
        <v>34</v>
      </c>
      <c r="J18">
        <v>34</v>
      </c>
      <c r="K18">
        <v>34</v>
      </c>
      <c r="L18">
        <v>34</v>
      </c>
      <c r="M18">
        <v>34</v>
      </c>
      <c r="N18">
        <v>34</v>
      </c>
      <c r="O18">
        <f t="shared" si="2"/>
        <v>306</v>
      </c>
      <c r="P18">
        <f t="shared" si="0"/>
        <v>34</v>
      </c>
      <c r="Q18" t="s">
        <v>51</v>
      </c>
      <c r="R18" t="str">
        <f t="shared" si="1"/>
        <v>Fail</v>
      </c>
    </row>
    <row r="19" spans="2:18">
      <c r="B19">
        <v>17</v>
      </c>
      <c r="C19" t="s">
        <v>27</v>
      </c>
      <c r="D19">
        <v>17</v>
      </c>
      <c r="E19" t="s">
        <v>44</v>
      </c>
      <c r="F19">
        <v>35</v>
      </c>
      <c r="G19">
        <v>35</v>
      </c>
      <c r="H19">
        <v>35</v>
      </c>
      <c r="I19">
        <v>35</v>
      </c>
      <c r="J19">
        <v>35</v>
      </c>
      <c r="K19">
        <v>35</v>
      </c>
      <c r="L19">
        <v>35</v>
      </c>
      <c r="M19">
        <v>35</v>
      </c>
      <c r="N19">
        <v>35</v>
      </c>
      <c r="O19">
        <f t="shared" si="2"/>
        <v>315</v>
      </c>
      <c r="P19">
        <f t="shared" si="0"/>
        <v>35</v>
      </c>
      <c r="Q19" t="s">
        <v>51</v>
      </c>
      <c r="R19" t="str">
        <f t="shared" si="1"/>
        <v>Fail</v>
      </c>
    </row>
    <row r="20" spans="2:18">
      <c r="B20">
        <v>18</v>
      </c>
      <c r="C20" t="s">
        <v>26</v>
      </c>
      <c r="D20">
        <v>16</v>
      </c>
      <c r="E20" t="s">
        <v>45</v>
      </c>
      <c r="F20">
        <v>53</v>
      </c>
      <c r="G20">
        <v>53</v>
      </c>
      <c r="H20">
        <v>53</v>
      </c>
      <c r="I20">
        <v>53</v>
      </c>
      <c r="J20">
        <v>53</v>
      </c>
      <c r="K20">
        <v>53</v>
      </c>
      <c r="L20">
        <v>53</v>
      </c>
      <c r="M20">
        <v>53</v>
      </c>
      <c r="N20">
        <v>53</v>
      </c>
      <c r="O20">
        <f t="shared" si="2"/>
        <v>477</v>
      </c>
      <c r="P20">
        <f t="shared" si="0"/>
        <v>53</v>
      </c>
      <c r="Q20" t="s">
        <v>50</v>
      </c>
      <c r="R20" t="str">
        <f t="shared" si="1"/>
        <v>Pass</v>
      </c>
    </row>
    <row r="21" spans="2:18">
      <c r="B21">
        <v>19</v>
      </c>
      <c r="C21" t="s">
        <v>25</v>
      </c>
      <c r="D21">
        <v>16</v>
      </c>
      <c r="E21" t="s">
        <v>44</v>
      </c>
      <c r="F21">
        <v>56</v>
      </c>
      <c r="G21">
        <v>56</v>
      </c>
      <c r="H21">
        <v>56</v>
      </c>
      <c r="I21">
        <v>56</v>
      </c>
      <c r="J21">
        <v>56</v>
      </c>
      <c r="K21">
        <v>56</v>
      </c>
      <c r="L21">
        <v>56</v>
      </c>
      <c r="M21">
        <v>56</v>
      </c>
      <c r="N21">
        <v>56</v>
      </c>
      <c r="O21">
        <f t="shared" si="2"/>
        <v>504</v>
      </c>
      <c r="P21">
        <f t="shared" si="0"/>
        <v>56</v>
      </c>
      <c r="Q21" t="s">
        <v>50</v>
      </c>
      <c r="R21" t="str">
        <f t="shared" si="1"/>
        <v>Pass</v>
      </c>
    </row>
    <row r="22" spans="2:18">
      <c r="B22">
        <v>20</v>
      </c>
      <c r="C22" t="s">
        <v>24</v>
      </c>
      <c r="D22">
        <v>15</v>
      </c>
      <c r="E22" t="s">
        <v>45</v>
      </c>
      <c r="F22">
        <v>56</v>
      </c>
      <c r="G22">
        <v>56</v>
      </c>
      <c r="H22">
        <v>56</v>
      </c>
      <c r="I22">
        <v>56</v>
      </c>
      <c r="J22">
        <v>56</v>
      </c>
      <c r="K22">
        <v>56</v>
      </c>
      <c r="L22">
        <v>56</v>
      </c>
      <c r="M22">
        <v>56</v>
      </c>
      <c r="N22">
        <v>56</v>
      </c>
      <c r="O22">
        <f t="shared" si="2"/>
        <v>504</v>
      </c>
      <c r="P22">
        <f t="shared" si="0"/>
        <v>56</v>
      </c>
      <c r="Q22" t="s">
        <v>50</v>
      </c>
      <c r="R22" t="str">
        <f t="shared" si="1"/>
        <v>Pass</v>
      </c>
    </row>
    <row r="23" spans="2:18">
      <c r="B23">
        <v>21</v>
      </c>
      <c r="C23" t="s">
        <v>23</v>
      </c>
      <c r="D23">
        <v>15</v>
      </c>
      <c r="E23" t="s">
        <v>45</v>
      </c>
      <c r="F23">
        <v>43</v>
      </c>
      <c r="G23">
        <v>43</v>
      </c>
      <c r="H23">
        <v>43</v>
      </c>
      <c r="I23">
        <v>43</v>
      </c>
      <c r="J23">
        <v>43</v>
      </c>
      <c r="K23">
        <v>43</v>
      </c>
      <c r="L23">
        <v>43</v>
      </c>
      <c r="M23">
        <v>43</v>
      </c>
      <c r="N23">
        <v>43</v>
      </c>
      <c r="O23">
        <f t="shared" si="2"/>
        <v>387</v>
      </c>
      <c r="P23">
        <f t="shared" si="0"/>
        <v>43</v>
      </c>
      <c r="Q23" t="s">
        <v>50</v>
      </c>
      <c r="R23" t="str">
        <f t="shared" si="1"/>
        <v>Fail</v>
      </c>
    </row>
    <row r="24" spans="2:18">
      <c r="B24">
        <v>22</v>
      </c>
      <c r="C24" t="s">
        <v>22</v>
      </c>
      <c r="D24">
        <v>16</v>
      </c>
      <c r="E24" t="s">
        <v>45</v>
      </c>
      <c r="F24">
        <v>24</v>
      </c>
      <c r="G24">
        <v>24</v>
      </c>
      <c r="H24">
        <v>24</v>
      </c>
      <c r="I24">
        <v>24</v>
      </c>
      <c r="J24">
        <v>24</v>
      </c>
      <c r="K24">
        <v>24</v>
      </c>
      <c r="L24">
        <v>24</v>
      </c>
      <c r="M24">
        <v>24</v>
      </c>
      <c r="N24">
        <v>24</v>
      </c>
      <c r="O24">
        <f t="shared" si="2"/>
        <v>216</v>
      </c>
      <c r="P24">
        <f t="shared" si="0"/>
        <v>24</v>
      </c>
      <c r="Q24" t="s">
        <v>44</v>
      </c>
      <c r="R24" t="str">
        <f t="shared" si="1"/>
        <v>Fail</v>
      </c>
    </row>
    <row r="25" spans="2:18">
      <c r="B25">
        <v>23</v>
      </c>
      <c r="C25" t="s">
        <v>21</v>
      </c>
      <c r="D25">
        <v>19</v>
      </c>
      <c r="E25" t="s">
        <v>44</v>
      </c>
      <c r="F25">
        <v>51</v>
      </c>
      <c r="G25">
        <v>51</v>
      </c>
      <c r="H25">
        <v>51</v>
      </c>
      <c r="I25">
        <v>51</v>
      </c>
      <c r="J25">
        <v>51</v>
      </c>
      <c r="K25">
        <v>51</v>
      </c>
      <c r="L25">
        <v>51</v>
      </c>
      <c r="M25">
        <v>51</v>
      </c>
      <c r="N25">
        <v>51</v>
      </c>
      <c r="O25">
        <f t="shared" si="2"/>
        <v>459</v>
      </c>
      <c r="P25">
        <f t="shared" si="0"/>
        <v>51</v>
      </c>
      <c r="Q25" t="s">
        <v>50</v>
      </c>
      <c r="R25" t="str">
        <f t="shared" si="1"/>
        <v>Pass</v>
      </c>
    </row>
    <row r="26" spans="2:18">
      <c r="B26">
        <v>24</v>
      </c>
      <c r="C26" t="s">
        <v>20</v>
      </c>
      <c r="D26">
        <v>16</v>
      </c>
      <c r="E26" t="s">
        <v>44</v>
      </c>
      <c r="F26">
        <v>54</v>
      </c>
      <c r="G26">
        <v>54</v>
      </c>
      <c r="H26">
        <v>54</v>
      </c>
      <c r="I26">
        <v>54</v>
      </c>
      <c r="J26">
        <v>54</v>
      </c>
      <c r="K26">
        <v>54</v>
      </c>
      <c r="L26">
        <v>54</v>
      </c>
      <c r="M26">
        <v>54</v>
      </c>
      <c r="N26">
        <v>54</v>
      </c>
      <c r="O26">
        <f t="shared" si="2"/>
        <v>486</v>
      </c>
      <c r="P26">
        <f t="shared" si="0"/>
        <v>54</v>
      </c>
      <c r="Q26" t="s">
        <v>50</v>
      </c>
      <c r="R26" t="str">
        <f t="shared" si="1"/>
        <v>Pass</v>
      </c>
    </row>
    <row r="27" spans="2:18">
      <c r="B27">
        <v>25</v>
      </c>
      <c r="C27" t="s">
        <v>19</v>
      </c>
      <c r="D27">
        <v>16</v>
      </c>
      <c r="E27" t="s">
        <v>45</v>
      </c>
      <c r="F27">
        <v>52</v>
      </c>
      <c r="G27">
        <v>52</v>
      </c>
      <c r="H27">
        <v>52</v>
      </c>
      <c r="I27">
        <v>52</v>
      </c>
      <c r="J27">
        <v>52</v>
      </c>
      <c r="K27">
        <v>52</v>
      </c>
      <c r="L27">
        <v>52</v>
      </c>
      <c r="M27">
        <v>52</v>
      </c>
      <c r="N27">
        <v>52</v>
      </c>
      <c r="O27">
        <f t="shared" si="2"/>
        <v>468</v>
      </c>
      <c r="P27">
        <f t="shared" si="0"/>
        <v>52</v>
      </c>
      <c r="Q27" t="s">
        <v>50</v>
      </c>
      <c r="R27" t="str">
        <f t="shared" si="1"/>
        <v>Pass</v>
      </c>
    </row>
    <row r="28" spans="2:18">
      <c r="B28">
        <v>26</v>
      </c>
      <c r="C28" t="s">
        <v>18</v>
      </c>
      <c r="D28">
        <v>18</v>
      </c>
      <c r="E28" t="s">
        <v>44</v>
      </c>
      <c r="F28">
        <v>56</v>
      </c>
      <c r="G28">
        <v>56</v>
      </c>
      <c r="H28">
        <v>56</v>
      </c>
      <c r="I28">
        <v>56</v>
      </c>
      <c r="J28">
        <v>56</v>
      </c>
      <c r="K28">
        <v>56</v>
      </c>
      <c r="L28">
        <v>56</v>
      </c>
      <c r="M28">
        <v>56</v>
      </c>
      <c r="N28">
        <v>56</v>
      </c>
      <c r="O28">
        <f t="shared" si="2"/>
        <v>504</v>
      </c>
      <c r="P28">
        <f t="shared" si="0"/>
        <v>56</v>
      </c>
      <c r="Q28" t="s">
        <v>50</v>
      </c>
      <c r="R28" t="str">
        <f t="shared" si="1"/>
        <v>Pass</v>
      </c>
    </row>
    <row r="29" spans="2:18">
      <c r="B29">
        <v>27</v>
      </c>
      <c r="C29" t="s">
        <v>17</v>
      </c>
      <c r="D29">
        <v>17</v>
      </c>
      <c r="E29" t="s">
        <v>45</v>
      </c>
      <c r="F29">
        <v>49</v>
      </c>
      <c r="G29">
        <v>49</v>
      </c>
      <c r="H29">
        <v>49</v>
      </c>
      <c r="I29">
        <v>49</v>
      </c>
      <c r="J29">
        <v>49</v>
      </c>
      <c r="K29">
        <v>49</v>
      </c>
      <c r="L29">
        <v>49</v>
      </c>
      <c r="M29">
        <v>49</v>
      </c>
      <c r="N29">
        <v>49</v>
      </c>
      <c r="O29">
        <f t="shared" si="2"/>
        <v>441</v>
      </c>
      <c r="P29">
        <f t="shared" si="0"/>
        <v>49</v>
      </c>
      <c r="Q29" t="s">
        <v>50</v>
      </c>
      <c r="R29" t="str">
        <f t="shared" si="1"/>
        <v>Fail</v>
      </c>
    </row>
    <row r="30" spans="2:18">
      <c r="B30">
        <v>28</v>
      </c>
      <c r="C30" t="s">
        <v>16</v>
      </c>
      <c r="D30">
        <v>16</v>
      </c>
      <c r="E30" t="s">
        <v>45</v>
      </c>
      <c r="F30">
        <v>48</v>
      </c>
      <c r="G30">
        <v>48</v>
      </c>
      <c r="H30">
        <v>48</v>
      </c>
      <c r="I30">
        <v>48</v>
      </c>
      <c r="J30">
        <v>48</v>
      </c>
      <c r="K30">
        <v>48</v>
      </c>
      <c r="L30">
        <v>48</v>
      </c>
      <c r="M30">
        <v>48</v>
      </c>
      <c r="N30">
        <v>48</v>
      </c>
      <c r="O30">
        <f t="shared" si="2"/>
        <v>432</v>
      </c>
      <c r="P30">
        <f t="shared" si="0"/>
        <v>48</v>
      </c>
      <c r="Q30" t="s">
        <v>50</v>
      </c>
      <c r="R30" t="str">
        <f t="shared" si="1"/>
        <v>Fail</v>
      </c>
    </row>
    <row r="31" spans="2:18">
      <c r="B31">
        <v>29</v>
      </c>
      <c r="C31" t="s">
        <v>15</v>
      </c>
      <c r="D31">
        <v>16</v>
      </c>
      <c r="E31" t="s">
        <v>45</v>
      </c>
      <c r="F31">
        <v>32</v>
      </c>
      <c r="G31">
        <v>32</v>
      </c>
      <c r="H31">
        <v>32</v>
      </c>
      <c r="I31">
        <v>32</v>
      </c>
      <c r="J31">
        <v>32</v>
      </c>
      <c r="K31">
        <v>32</v>
      </c>
      <c r="L31">
        <v>32</v>
      </c>
      <c r="M31">
        <v>32</v>
      </c>
      <c r="N31">
        <v>32</v>
      </c>
      <c r="O31">
        <f t="shared" si="2"/>
        <v>288</v>
      </c>
      <c r="P31">
        <f t="shared" si="0"/>
        <v>32</v>
      </c>
      <c r="Q31" t="s">
        <v>51</v>
      </c>
      <c r="R31" t="str">
        <f t="shared" si="1"/>
        <v>Fail</v>
      </c>
    </row>
    <row r="32" spans="2:18">
      <c r="B32">
        <v>30</v>
      </c>
      <c r="C32" t="s">
        <v>14</v>
      </c>
      <c r="D32">
        <v>16</v>
      </c>
      <c r="E32" t="s">
        <v>44</v>
      </c>
      <c r="F32">
        <v>29</v>
      </c>
      <c r="G32">
        <v>29</v>
      </c>
      <c r="H32">
        <v>29</v>
      </c>
      <c r="I32">
        <v>29</v>
      </c>
      <c r="J32">
        <v>29</v>
      </c>
      <c r="K32">
        <v>29</v>
      </c>
      <c r="L32">
        <v>29</v>
      </c>
      <c r="M32">
        <v>29</v>
      </c>
      <c r="N32">
        <v>29</v>
      </c>
      <c r="O32">
        <f t="shared" si="2"/>
        <v>261</v>
      </c>
      <c r="P32">
        <f t="shared" si="0"/>
        <v>29</v>
      </c>
      <c r="Q32" t="s">
        <v>44</v>
      </c>
      <c r="R32" t="str">
        <f t="shared" si="1"/>
        <v>Fail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M12"/>
  <sheetViews>
    <sheetView tabSelected="1" workbookViewId="0">
      <selection activeCell="L16" sqref="L16"/>
    </sheetView>
  </sheetViews>
  <sheetFormatPr defaultRowHeight="15"/>
  <cols>
    <col min="5" max="5" width="20.5703125" customWidth="1"/>
    <col min="11" max="11" width="11.42578125" customWidth="1"/>
    <col min="12" max="12" width="11.7109375" customWidth="1"/>
  </cols>
  <sheetData>
    <row r="1" spans="1:13" ht="26.25">
      <c r="A1" s="6"/>
      <c r="G1" s="5" t="s">
        <v>79</v>
      </c>
      <c r="H1" s="8"/>
    </row>
    <row r="2" spans="1:13">
      <c r="B2" s="3" t="s">
        <v>52</v>
      </c>
      <c r="C2" s="3" t="s">
        <v>2</v>
      </c>
      <c r="D2" s="3" t="s">
        <v>38</v>
      </c>
      <c r="E2" s="3" t="s">
        <v>53</v>
      </c>
      <c r="F2" s="3" t="s">
        <v>54</v>
      </c>
      <c r="G2" s="3" t="s">
        <v>55</v>
      </c>
      <c r="H2" s="3" t="s">
        <v>56</v>
      </c>
      <c r="I2" s="3" t="s">
        <v>78</v>
      </c>
      <c r="J2" s="3" t="s">
        <v>57</v>
      </c>
      <c r="K2" s="3" t="s">
        <v>58</v>
      </c>
      <c r="L2" s="3" t="s">
        <v>59</v>
      </c>
      <c r="M2" s="3" t="s">
        <v>60</v>
      </c>
    </row>
    <row r="3" spans="1:13">
      <c r="B3">
        <v>1</v>
      </c>
      <c r="C3" t="s">
        <v>61</v>
      </c>
      <c r="D3" t="s">
        <v>45</v>
      </c>
      <c r="E3" t="s">
        <v>71</v>
      </c>
      <c r="F3" s="7">
        <v>65000</v>
      </c>
      <c r="G3">
        <f>F3/10</f>
        <v>6500</v>
      </c>
      <c r="H3">
        <f>F3/15</f>
        <v>4333.333333333333</v>
      </c>
      <c r="I3">
        <f>F3/7.5</f>
        <v>8666.6666666666661</v>
      </c>
      <c r="J3">
        <f>F3/2</f>
        <v>32500</v>
      </c>
      <c r="K3">
        <f>G3/10</f>
        <v>650</v>
      </c>
      <c r="L3" s="7">
        <f>SUM(F3:K3)</f>
        <v>117650</v>
      </c>
      <c r="M3" s="7">
        <f>L3-K3</f>
        <v>117000</v>
      </c>
    </row>
    <row r="4" spans="1:13">
      <c r="B4">
        <v>2</v>
      </c>
      <c r="C4" t="s">
        <v>62</v>
      </c>
      <c r="D4" t="s">
        <v>45</v>
      </c>
      <c r="E4" t="s">
        <v>72</v>
      </c>
      <c r="F4" s="7">
        <v>70000</v>
      </c>
      <c r="G4">
        <f t="shared" ref="G4:G12" si="0">F4/10</f>
        <v>7000</v>
      </c>
      <c r="H4">
        <f t="shared" ref="H4:H12" si="1">F4/15</f>
        <v>4666.666666666667</v>
      </c>
      <c r="I4">
        <f t="shared" ref="I4:I12" si="2">F4/7.5</f>
        <v>9333.3333333333339</v>
      </c>
      <c r="J4">
        <f t="shared" ref="J4:J12" si="3">F4/2</f>
        <v>35000</v>
      </c>
      <c r="K4">
        <f t="shared" ref="K4:K12" si="4">G4/10</f>
        <v>700</v>
      </c>
      <c r="L4" s="7">
        <f t="shared" ref="L4:L12" si="5">SUM(F4:K4)</f>
        <v>126700</v>
      </c>
      <c r="M4" s="7">
        <f t="shared" ref="M4:M11" si="6">L4-K4</f>
        <v>126000</v>
      </c>
    </row>
    <row r="5" spans="1:13">
      <c r="B5">
        <v>3</v>
      </c>
      <c r="C5" t="s">
        <v>63</v>
      </c>
      <c r="D5" t="s">
        <v>45</v>
      </c>
      <c r="E5" t="s">
        <v>73</v>
      </c>
      <c r="F5" s="7">
        <v>60000</v>
      </c>
      <c r="G5">
        <f t="shared" si="0"/>
        <v>6000</v>
      </c>
      <c r="H5">
        <f t="shared" si="1"/>
        <v>4000</v>
      </c>
      <c r="I5">
        <f t="shared" si="2"/>
        <v>8000</v>
      </c>
      <c r="J5">
        <f t="shared" si="3"/>
        <v>30000</v>
      </c>
      <c r="K5">
        <f t="shared" si="4"/>
        <v>600</v>
      </c>
      <c r="L5" s="7">
        <f t="shared" si="5"/>
        <v>108600</v>
      </c>
      <c r="M5" s="7">
        <f t="shared" si="6"/>
        <v>108000</v>
      </c>
    </row>
    <row r="6" spans="1:13">
      <c r="B6">
        <v>4</v>
      </c>
      <c r="C6" t="s">
        <v>64</v>
      </c>
      <c r="D6" t="s">
        <v>45</v>
      </c>
      <c r="E6" t="s">
        <v>74</v>
      </c>
      <c r="F6" s="7">
        <v>55000</v>
      </c>
      <c r="G6">
        <f t="shared" si="0"/>
        <v>5500</v>
      </c>
      <c r="H6">
        <f t="shared" si="1"/>
        <v>3666.6666666666665</v>
      </c>
      <c r="I6">
        <f t="shared" si="2"/>
        <v>7333.333333333333</v>
      </c>
      <c r="J6">
        <f t="shared" si="3"/>
        <v>27500</v>
      </c>
      <c r="K6">
        <f t="shared" si="4"/>
        <v>550</v>
      </c>
      <c r="L6" s="7">
        <f t="shared" si="5"/>
        <v>99550</v>
      </c>
      <c r="M6" s="7">
        <f t="shared" si="6"/>
        <v>99000</v>
      </c>
    </row>
    <row r="7" spans="1:13">
      <c r="B7">
        <v>5</v>
      </c>
      <c r="C7" t="s">
        <v>65</v>
      </c>
      <c r="D7" t="s">
        <v>45</v>
      </c>
      <c r="E7" t="s">
        <v>75</v>
      </c>
      <c r="F7" s="7">
        <v>95000</v>
      </c>
      <c r="G7">
        <f t="shared" si="0"/>
        <v>9500</v>
      </c>
      <c r="H7">
        <f t="shared" si="1"/>
        <v>6333.333333333333</v>
      </c>
      <c r="I7">
        <f t="shared" si="2"/>
        <v>12666.666666666666</v>
      </c>
      <c r="J7">
        <f t="shared" si="3"/>
        <v>47500</v>
      </c>
      <c r="K7">
        <f t="shared" si="4"/>
        <v>950</v>
      </c>
      <c r="L7" s="7">
        <f t="shared" si="5"/>
        <v>171950</v>
      </c>
      <c r="M7" s="7">
        <f t="shared" si="6"/>
        <v>171000</v>
      </c>
    </row>
    <row r="8" spans="1:13">
      <c r="B8">
        <v>6</v>
      </c>
      <c r="C8" t="s">
        <v>66</v>
      </c>
      <c r="D8" t="s">
        <v>45</v>
      </c>
      <c r="E8" t="s">
        <v>76</v>
      </c>
      <c r="F8" s="7">
        <v>85000</v>
      </c>
      <c r="G8">
        <f t="shared" si="0"/>
        <v>8500</v>
      </c>
      <c r="H8">
        <f t="shared" si="1"/>
        <v>5666.666666666667</v>
      </c>
      <c r="I8">
        <f t="shared" si="2"/>
        <v>11333.333333333334</v>
      </c>
      <c r="J8">
        <f t="shared" si="3"/>
        <v>42500</v>
      </c>
      <c r="K8">
        <f t="shared" si="4"/>
        <v>850</v>
      </c>
      <c r="L8" s="7">
        <f t="shared" si="5"/>
        <v>153850</v>
      </c>
      <c r="M8" s="7">
        <f t="shared" si="6"/>
        <v>153000</v>
      </c>
    </row>
    <row r="9" spans="1:13">
      <c r="B9">
        <v>7</v>
      </c>
      <c r="C9" t="s">
        <v>67</v>
      </c>
      <c r="D9" t="s">
        <v>45</v>
      </c>
      <c r="E9" t="s">
        <v>80</v>
      </c>
      <c r="F9" s="7">
        <v>55000</v>
      </c>
      <c r="G9">
        <f t="shared" si="0"/>
        <v>5500</v>
      </c>
      <c r="H9">
        <f t="shared" si="1"/>
        <v>3666.6666666666665</v>
      </c>
      <c r="I9">
        <f t="shared" si="2"/>
        <v>7333.333333333333</v>
      </c>
      <c r="J9">
        <f t="shared" si="3"/>
        <v>27500</v>
      </c>
      <c r="K9">
        <f t="shared" si="4"/>
        <v>550</v>
      </c>
      <c r="L9" s="7">
        <f t="shared" si="5"/>
        <v>99550</v>
      </c>
      <c r="M9" s="7">
        <f t="shared" si="6"/>
        <v>99000</v>
      </c>
    </row>
    <row r="10" spans="1:13">
      <c r="B10">
        <v>8</v>
      </c>
      <c r="C10" t="s">
        <v>68</v>
      </c>
      <c r="D10" t="s">
        <v>45</v>
      </c>
      <c r="E10" t="s">
        <v>73</v>
      </c>
      <c r="F10" s="7">
        <v>60000</v>
      </c>
      <c r="G10">
        <f t="shared" si="0"/>
        <v>6000</v>
      </c>
      <c r="H10">
        <f t="shared" si="1"/>
        <v>4000</v>
      </c>
      <c r="I10">
        <f t="shared" si="2"/>
        <v>8000</v>
      </c>
      <c r="J10">
        <f t="shared" si="3"/>
        <v>30000</v>
      </c>
      <c r="K10">
        <f t="shared" si="4"/>
        <v>600</v>
      </c>
      <c r="L10" s="7">
        <f t="shared" si="5"/>
        <v>108600</v>
      </c>
      <c r="M10" s="7">
        <f t="shared" si="6"/>
        <v>108000</v>
      </c>
    </row>
    <row r="11" spans="1:13">
      <c r="B11">
        <v>9</v>
      </c>
      <c r="C11" t="s">
        <v>69</v>
      </c>
      <c r="D11" t="s">
        <v>45</v>
      </c>
      <c r="E11" t="s">
        <v>77</v>
      </c>
      <c r="F11" s="7">
        <v>90000</v>
      </c>
      <c r="G11">
        <f t="shared" si="0"/>
        <v>9000</v>
      </c>
      <c r="H11">
        <f t="shared" si="1"/>
        <v>6000</v>
      </c>
      <c r="I11">
        <f t="shared" si="2"/>
        <v>12000</v>
      </c>
      <c r="J11">
        <f t="shared" si="3"/>
        <v>45000</v>
      </c>
      <c r="K11">
        <f t="shared" si="4"/>
        <v>900</v>
      </c>
      <c r="L11" s="7">
        <f t="shared" si="5"/>
        <v>162900</v>
      </c>
      <c r="M11" s="7">
        <f t="shared" si="6"/>
        <v>162000</v>
      </c>
    </row>
    <row r="12" spans="1:13">
      <c r="B12">
        <v>10</v>
      </c>
      <c r="C12" t="s">
        <v>70</v>
      </c>
      <c r="D12" t="s">
        <v>45</v>
      </c>
      <c r="E12" t="s">
        <v>71</v>
      </c>
      <c r="F12" s="7">
        <v>65000</v>
      </c>
      <c r="G12">
        <f t="shared" si="0"/>
        <v>6500</v>
      </c>
      <c r="H12">
        <f t="shared" si="1"/>
        <v>4333.333333333333</v>
      </c>
      <c r="I12">
        <f t="shared" si="2"/>
        <v>8666.6666666666661</v>
      </c>
      <c r="J12">
        <f t="shared" si="3"/>
        <v>32500</v>
      </c>
      <c r="K12">
        <f t="shared" si="4"/>
        <v>650</v>
      </c>
      <c r="L12" s="7">
        <f t="shared" si="5"/>
        <v>117650</v>
      </c>
      <c r="M12" s="7">
        <f>L12-K12</f>
        <v>117000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MT</dc:creator>
  <cp:lastModifiedBy>MT</cp:lastModifiedBy>
  <dcterms:created xsi:type="dcterms:W3CDTF">2026-03-06T13:49:59Z</dcterms:created>
  <dcterms:modified xsi:type="dcterms:W3CDTF">2026-03-18T18:52:21Z</dcterms:modified>
</cp:coreProperties>
</file>